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<sst xmlns="http://schemas.openxmlformats.org/spreadsheetml/2006/main" count="17" uniqueCount="17">
  <si>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>Component</t>
  </si>
  <si>
    <t xml:space="preserve">Spanning (V)</t>
  </si>
  <si>
    <t xml:space="preserve">Stroom (A)</t>
  </si>
  <si>
    <t xml:space="preserve">P_typisch (W)</t>
  </si>
  <si>
    <t xml:space="preserve">P_gemiddelde (W)</t>
  </si>
  <si>
    <t>Opmerkingen</t>
  </si>
  <si>
    <t xml:space="preserve">Raspberry Pi Zero 2W</t>
  </si>
  <si>
    <t xml:space="preserve">Verbruik zonder loads; piek ≈ 2.5 W</t>
  </si>
  <si>
    <t xml:space="preserve">Somfy LT50 Rolmotor</t>
  </si>
  <si>
    <t xml:space="preserve">Motor draait ± 10 min/week → gemiddeld ≈ 0.25 W</t>
  </si>
  <si>
    <t xml:space="preserve">Logitech Webcam C270</t>
  </si>
  <si>
    <t xml:space="preserve">USB-gevoed, meestal standby</t>
  </si>
  <si>
    <t xml:space="preserve">HP EliteDesk 800 G1 SFF</t>
  </si>
  <si>
    <t xml:space="preserve">ong 60 % CPU-belasting; idle ≈ 20–30 W</t>
  </si>
  <si>
    <t>TOTAAL</t>
  </si>
  <si>
    <t>–</t>
  </si>
  <si>
    <t xml:space="preserve">Typisch = motor actief; gemiddeld = idle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</si>
</sst>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sz val="11.000000"/>
      <color theme="0"/>
      <name val="Calibri"/>
      <scheme val="minor"/>
    </font>
    <font>
      <sz val="10.000000"/>
      <name val="Courier New"/>
    </font>
    <font>
      <b/>
      <sz val="11.00000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theme="4" tint="0.39997558519241921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</borders>
  <cellStyleXfs count="6">
    <xf fontId="0" fillId="0" borderId="0" numFmtId="0" applyNumberFormat="1" applyFont="1" applyFill="1" applyBorder="1"/>
    <xf fontId="1" fillId="2" borderId="1" numFmtId="0" applyNumberFormat="0" applyFont="1" applyFill="1" applyBorder="1"/>
    <xf fontId="2" fillId="2" borderId="2" numFmtId="0" applyNumberFormat="0" applyFont="1" applyFill="1" applyBorder="1"/>
    <xf fontId="3" fillId="3" borderId="0" numFmtId="0" applyNumberFormat="0" applyFont="1" applyFill="1" applyBorder="0"/>
    <xf fontId="3" fillId="4" borderId="0" numFmtId="0" applyNumberFormat="0" applyFont="1" applyFill="1" applyBorder="0"/>
    <xf fontId="3" fillId="5" borderId="0" numFmtId="0" applyNumberFormat="0" applyFont="1" applyFill="1" applyBorder="0"/>
  </cellStyleXfs>
  <cellXfs count="6">
    <xf fontId="0" fillId="0" borderId="0" numFmtId="0" xfId="0"/>
    <xf fontId="4" fillId="0" borderId="0" numFmtId="0" xfId="0" applyFont="1" applyAlignment="1">
      <alignment horizontal="left"/>
    </xf>
    <xf fontId="4" fillId="0" borderId="0" numFmtId="0" xfId="0" applyFont="1"/>
    <xf fontId="5" fillId="0" borderId="0" numFmtId="0" xfId="0" applyFont="1" applyAlignment="1">
      <alignment horizontal="left"/>
    </xf>
    <xf fontId="5" fillId="0" borderId="0" numFmtId="0" xfId="0" applyFont="1"/>
    <xf fontId="0" fillId="0" borderId="0" numFmtId="0" xfId="0" applyAlignment="1">
      <alignment horizontal="left"/>
    </xf>
  </cellXfs>
  <cellStyles count="6">
    <cellStyle name="Normal" xfId="0" builtinId="0"/>
    <cellStyle name="Output" xfId="1" builtinId="21"/>
    <cellStyle name="Calculation" xfId="2" builtinId="22"/>
    <cellStyle name="60% - Accent5" xfId="3" builtinId="48"/>
    <cellStyle name="Accent1" xfId="4" builtinId="29"/>
    <cellStyle name="60% - Accent1" xfId="5" builtinId="3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7">
  <autoFilter ref="$A$1:$F$7"/>
  <tableColumns count="6">
    <tableColumn id="1" name="Component"/>
    <tableColumn id="2" name="Spanning (V)"/>
    <tableColumn id="3" name="Stroom (A)"/>
    <tableColumn id="4" name="P_typisch (W)"/>
    <tableColumn id="5" name="P_gemiddelde (W)"/>
    <tableColumn id="6" name="Opmerkingen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9.7109375"/>
    <col bestFit="1" customWidth="1" min="2" max="2" width="16.90234375"/>
    <col bestFit="1" customWidth="1" min="3" max="3" width="14.61328125"/>
    <col bestFit="1" customWidth="1" min="4" max="4" width="18.04296875"/>
    <col bestFit="1" customWidth="1" min="5" max="5" width="21.47265625"/>
    <col customWidth="1" min="6" max="7" width="66.7109375"/>
  </cols>
  <sheetData>
    <row r="1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.25">
      <c r="A2" s="1" t="s">
        <v>6</v>
      </c>
      <c r="B2" s="2">
        <v>5</v>
      </c>
      <c r="C2" s="2">
        <f>D2/B2</f>
        <v>0.23999999999999999</v>
      </c>
      <c r="D2" s="2">
        <v>1.2</v>
      </c>
      <c r="E2" s="2">
        <f>D2</f>
        <v>1.2</v>
      </c>
      <c r="F2" s="2" t="s">
        <v>7</v>
      </c>
    </row>
    <row r="3" ht="14.25">
      <c r="A3" s="1" t="s">
        <v>8</v>
      </c>
      <c r="B3" s="2">
        <v>230</v>
      </c>
      <c r="C3" s="2">
        <v>1.1000000000000001</v>
      </c>
      <c r="D3" s="2">
        <f>B3*C3</f>
        <v>253.00000000000003</v>
      </c>
      <c r="E3" s="2">
        <v>0.25</v>
      </c>
      <c r="F3" s="2" t="s">
        <v>9</v>
      </c>
    </row>
    <row r="4" ht="14.25">
      <c r="A4" s="1" t="s">
        <v>10</v>
      </c>
      <c r="B4" s="2">
        <v>5</v>
      </c>
      <c r="C4" s="2">
        <v>0.25</v>
      </c>
      <c r="D4" s="2">
        <f>B4*C4</f>
        <v>1.25</v>
      </c>
      <c r="E4" s="2">
        <v>1.25</v>
      </c>
      <c r="F4" s="2" t="s">
        <v>11</v>
      </c>
    </row>
    <row r="5" ht="14.25">
      <c r="A5" s="1" t="s">
        <v>12</v>
      </c>
      <c r="B5" s="2">
        <v>230</v>
      </c>
      <c r="C5" s="2">
        <v>0.11</v>
      </c>
      <c r="D5" s="2">
        <f>B5*C5</f>
        <v>25.300000000000001</v>
      </c>
      <c r="E5" s="2">
        <v>25</v>
      </c>
      <c r="F5" s="2" t="s">
        <v>13</v>
      </c>
    </row>
    <row r="6" ht="14.25">
      <c r="A6" s="3" t="s">
        <v>14</v>
      </c>
      <c r="B6" s="4" t="s">
        <v>15</v>
      </c>
      <c r="C6" s="4" t="s">
        <v>15</v>
      </c>
      <c r="D6" s="4">
        <f>SUM(D2:D5)</f>
        <v>280.75</v>
      </c>
      <c r="E6" s="4">
        <f>SUM(E2:E5)</f>
        <v>27.699999999999999</v>
      </c>
      <c r="F6" s="4" t="s">
        <v>16</v>
      </c>
    </row>
    <row r="7" ht="14.25"/>
    <row r="8" ht="14.25">
      <c r="A8" s="5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2025-06-01T18:41:41Z</dcterms:modified>
</cp:coreProperties>
</file>